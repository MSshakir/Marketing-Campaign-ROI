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96735327987b888/Desktop/"/>
    </mc:Choice>
  </mc:AlternateContent>
  <xr:revisionPtr revIDLastSave="96" documentId="8_{741A8CD2-DC41-49F1-ABEC-DA60F2C3D0BD}" xr6:coauthVersionLast="47" xr6:coauthVersionMax="47" xr10:uidLastSave="{7517832C-9065-42AB-99B3-121B08AB71E4}"/>
  <bookViews>
    <workbookView xWindow="-108" yWindow="-108" windowWidth="23256" windowHeight="12456" xr2:uid="{854EDE78-A121-43D3-8135-D3D25CDD7A9F}"/>
  </bookViews>
  <sheets>
    <sheet name="campaign_data" sheetId="1" r:id="rId1"/>
    <sheet name="Channel_Summary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2" l="1"/>
  <c r="C2" i="2"/>
  <c r="D2" i="2" s="1"/>
  <c r="B3" i="2"/>
  <c r="C3" i="2"/>
  <c r="D3" i="2" s="1"/>
  <c r="B4" i="2"/>
  <c r="C4" i="2"/>
  <c r="D4" i="2" s="1"/>
  <c r="B5" i="2"/>
  <c r="C5" i="2"/>
  <c r="D5" i="2" s="1"/>
  <c r="M11" i="1"/>
  <c r="L11" i="1"/>
  <c r="J11" i="1"/>
  <c r="K11" i="1" s="1"/>
  <c r="M10" i="1"/>
  <c r="L10" i="1"/>
  <c r="J10" i="1"/>
  <c r="K10" i="1" s="1"/>
  <c r="M9" i="1"/>
  <c r="L9" i="1"/>
  <c r="J9" i="1"/>
  <c r="K9" i="1" s="1"/>
  <c r="M8" i="1"/>
  <c r="L8" i="1"/>
  <c r="J8" i="1"/>
  <c r="K8" i="1" s="1"/>
  <c r="M7" i="1"/>
  <c r="L7" i="1"/>
  <c r="J7" i="1"/>
  <c r="K7" i="1" s="1"/>
  <c r="M6" i="1"/>
  <c r="L6" i="1"/>
  <c r="J6" i="1"/>
  <c r="K6" i="1" s="1"/>
  <c r="M5" i="1"/>
  <c r="L5" i="1"/>
  <c r="J5" i="1"/>
  <c r="K5" i="1" s="1"/>
  <c r="M4" i="1"/>
  <c r="L4" i="1"/>
  <c r="J4" i="1"/>
  <c r="K4" i="1" s="1"/>
  <c r="M3" i="1"/>
  <c r="L3" i="1"/>
  <c r="J3" i="1"/>
  <c r="K3" i="1" s="1"/>
  <c r="K2" i="1"/>
  <c r="L2" i="1"/>
  <c r="M2" i="1"/>
  <c r="J2" i="1"/>
</calcChain>
</file>

<file path=xl/sharedStrings.xml><?xml version="1.0" encoding="utf-8"?>
<sst xmlns="http://schemas.openxmlformats.org/spreadsheetml/2006/main" count="61" uniqueCount="41">
  <si>
    <t>Campaign_ID</t>
  </si>
  <si>
    <t>Campaign</t>
  </si>
  <si>
    <t>Channel</t>
  </si>
  <si>
    <t>Spend_INR</t>
  </si>
  <si>
    <t>Impressions</t>
  </si>
  <si>
    <t>Clicks</t>
  </si>
  <si>
    <t>Conversions</t>
  </si>
  <si>
    <t>Revenue_INR</t>
  </si>
  <si>
    <t>Data_Status</t>
  </si>
  <si>
    <t>C001</t>
  </si>
  <si>
    <t>Summer Sale</t>
  </si>
  <si>
    <t>Email</t>
  </si>
  <si>
    <t>SIMULATED</t>
  </si>
  <si>
    <t>C002</t>
  </si>
  <si>
    <t>Brand Awareness</t>
  </si>
  <si>
    <t>Social Media</t>
  </si>
  <si>
    <t>C003</t>
  </si>
  <si>
    <t>Product Promotion</t>
  </si>
  <si>
    <t>Search Ads</t>
  </si>
  <si>
    <t>C004</t>
  </si>
  <si>
    <t>Retargeting</t>
  </si>
  <si>
    <t>Display Ads</t>
  </si>
  <si>
    <t>C005</t>
  </si>
  <si>
    <t>Festive Offer</t>
  </si>
  <si>
    <t>C006</t>
  </si>
  <si>
    <t>Lead Generation</t>
  </si>
  <si>
    <t>C007</t>
  </si>
  <si>
    <t>High Intent Search</t>
  </si>
  <si>
    <t>C008</t>
  </si>
  <si>
    <t>Remarketing</t>
  </si>
  <si>
    <t>C009</t>
  </si>
  <si>
    <t>Customer Retention</t>
  </si>
  <si>
    <t>C010</t>
  </si>
  <si>
    <t>Video Promotion</t>
  </si>
  <si>
    <t>Net_Return_INR</t>
  </si>
  <si>
    <t>ROI_Percent</t>
  </si>
  <si>
    <t>Conversion_Rate_Percent</t>
  </si>
  <si>
    <t>Cost_Per_Conversion_INR</t>
  </si>
  <si>
    <t>Total_Spend_INR</t>
  </si>
  <si>
    <t>Total_Revenue_INR</t>
  </si>
  <si>
    <t>Overall_ROI_Percent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</si>
</sst>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##&quot;%&quot;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Marketing Channel ROI Comparison.</a:t>
            </a:r>
          </a:p>
        </c:rich>
      </c:tx>
      <c:layout>
        <c:manualLayout>
          <c:xMode val="edge"/>
          <c:yMode val="edge"/>
          <c:x val="0.20511111111111111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Channel_Summary!$D$1</c:f>
              <c:strCache>
                <c:ptCount val="1"/>
                <c:pt idx="0">
                  <c:v>Overall_ROI_Percent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Channel_Summary!$A$2:$A$5</c:f>
              <c:strCache>
                <c:ptCount val="4"/>
                <c:pt idx="0">
                  <c:v>Email</c:v>
                </c:pt>
                <c:pt idx="1">
                  <c:v>Social Media</c:v>
                </c:pt>
                <c:pt idx="2">
                  <c:v>Search Ads</c:v>
                </c:pt>
                <c:pt idx="3">
                  <c:v>Display Ads</c:v>
                </c:pt>
              </c:strCache>
            </c:strRef>
          </c:cat>
          <c:val>
            <c:numRef>
              <c:f>Channel_Summary!$D$2:$D$5</c:f>
              <c:numCache>
                <c:formatCode>0.##"%"</c:formatCode>
                <c:ptCount val="4"/>
                <c:pt idx="0">
                  <c:v>146.66666666666666</c:v>
                </c:pt>
                <c:pt idx="1">
                  <c:v>56.666666666666664</c:v>
                </c:pt>
                <c:pt idx="2">
                  <c:v>80</c:v>
                </c:pt>
                <c:pt idx="3">
                  <c:v>28.000000000000004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FF-4E8F-A045-A6E6E380BF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703114208"/>
        <c:axId val="1703103648"/>
      </c:barChart>
      <c:catAx>
        <c:axId val="1703114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3103648"/>
        <c:crosses val="autoZero"/>
        <c:auto val="1"/>
        <c:lblAlgn val="ctr"/>
        <c:lblOffset val="100"/>
        <c:noMultiLvlLbl val="0"/>
      </c:catAx>
      <c:valAx>
        <c:axId val="1703103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##&quot;%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31142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7620</xdr:colOff>
      <xdr:row>1</xdr:row>
      <xdr:rowOff>3810</xdr:rowOff>
    </xdr:from>
    <xdr:to>
      <xdr:col>13</xdr:col>
      <xdr:colOff>7620</xdr:colOff>
      <xdr:row>18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F0EB781-00BA-D5F0-22DF-133F039C52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5C201A-2D4F-4E9F-B0E9-0852E0E27A39}">
  <dimension ref="A1:M11"/>
  <sheetViews>
    <sheetView tabSelected="1" workbookViewId="0">
      <selection activeCell="J22" sqref="J22"/>
    </sheetView>
  </sheetViews>
  <sheetFormatPr defaultColWidth="16.21875" defaultRowHeight="14.4"/>
  <cols>
    <col min="1" max="1" width="12.21875" bestFit="1" customWidth="1"/>
    <col min="2" max="2" width="17.5546875" bestFit="1" customWidth="1"/>
    <col min="3" max="3" width="11.33203125" bestFit="1" customWidth="1"/>
    <col min="4" max="4" width="10.33203125" bestFit="1" customWidth="1"/>
    <col min="5" max="5" width="11" bestFit="1" customWidth="1"/>
    <col min="6" max="6" width="5.6640625" bestFit="1" customWidth="1"/>
    <col min="7" max="7" width="11.21875" bestFit="1" customWidth="1"/>
    <col min="8" max="8" width="12.33203125" bestFit="1" customWidth="1"/>
    <col min="9" max="9" width="11.109375" bestFit="1" customWidth="1"/>
    <col min="10" max="10" width="14.77734375" bestFit="1" customWidth="1"/>
    <col min="11" max="11" width="12" bestFit="1" customWidth="1"/>
    <col min="12" max="12" width="23" bestFit="1" customWidth="1"/>
    <col min="13" max="13" width="24.5546875" bestFit="1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34</v>
      </c>
      <c r="K1" s="1" t="s">
        <v>35</v>
      </c>
      <c r="L1" s="1" t="s">
        <v>36</v>
      </c>
      <c r="M1" s="2" t="s">
        <v>37</v>
      </c>
    </row>
    <row r="2" spans="1:13">
      <c r="A2" t="s">
        <v>9</v>
      </c>
      <c r="B2" t="s">
        <v>10</v>
      </c>
      <c r="C2" t="s">
        <v>11</v>
      </c>
      <c r="D2">
        <v>10000</v>
      </c>
      <c r="E2">
        <v>50000</v>
      </c>
      <c r="F2">
        <v>5000</v>
      </c>
      <c r="G2">
        <v>500</v>
      </c>
      <c r="H2">
        <v>30000</v>
      </c>
      <c r="I2" t="s">
        <v>12</v>
      </c>
      <c r="J2">
        <f>VALUE(H2)-VALUE(D2)</f>
        <v>20000</v>
      </c>
      <c r="K2" s="3">
        <f>IFERROR(J2/D2*100,0)</f>
        <v>200</v>
      </c>
      <c r="L2" s="3">
        <f>IFERROR(G2/F2*100,0)</f>
        <v>10</v>
      </c>
      <c r="M2">
        <f>IFERROR(D2/G2,0)</f>
        <v>20</v>
      </c>
    </row>
    <row r="3" spans="1:13">
      <c r="A3" t="s">
        <v>13</v>
      </c>
      <c r="B3" t="s">
        <v>14</v>
      </c>
      <c r="C3" t="s">
        <v>15</v>
      </c>
      <c r="D3">
        <v>20000</v>
      </c>
      <c r="E3">
        <v>100000</v>
      </c>
      <c r="F3">
        <v>8000</v>
      </c>
      <c r="G3">
        <v>400</v>
      </c>
      <c r="H3">
        <v>32000</v>
      </c>
      <c r="I3" t="s">
        <v>12</v>
      </c>
      <c r="J3">
        <f t="shared" ref="J3:J11" si="0">VALUE(H3)-VALUE(D3)</f>
        <v>12000</v>
      </c>
      <c r="K3" s="3">
        <f t="shared" ref="K3:K11" si="1">IFERROR(J3/D3*100,0)</f>
        <v>60</v>
      </c>
      <c r="L3" s="3">
        <f t="shared" ref="L3:L11" si="2">IFERROR(G3/F3*100,0)</f>
        <v>5</v>
      </c>
      <c r="M3">
        <f t="shared" ref="M3:M11" si="3">IFERROR(D3/G3,0)</f>
        <v>50</v>
      </c>
    </row>
    <row r="4" spans="1:13">
      <c r="A4" t="s">
        <v>16</v>
      </c>
      <c r="B4" t="s">
        <v>17</v>
      </c>
      <c r="C4" t="s">
        <v>18</v>
      </c>
      <c r="D4">
        <v>25000</v>
      </c>
      <c r="E4">
        <v>75000</v>
      </c>
      <c r="F4">
        <v>6000</v>
      </c>
      <c r="G4">
        <v>600</v>
      </c>
      <c r="H4">
        <v>45000</v>
      </c>
      <c r="I4" t="s">
        <v>12</v>
      </c>
      <c r="J4">
        <f t="shared" si="0"/>
        <v>20000</v>
      </c>
      <c r="K4" s="3">
        <f t="shared" si="1"/>
        <v>80</v>
      </c>
      <c r="L4" s="3">
        <f t="shared" si="2"/>
        <v>10</v>
      </c>
      <c r="M4">
        <f t="shared" si="3"/>
        <v>41.666666666666664</v>
      </c>
    </row>
    <row r="5" spans="1:13">
      <c r="A5" t="s">
        <v>19</v>
      </c>
      <c r="B5" t="s">
        <v>20</v>
      </c>
      <c r="C5" t="s">
        <v>21</v>
      </c>
      <c r="D5">
        <v>15000</v>
      </c>
      <c r="E5">
        <v>120000</v>
      </c>
      <c r="F5">
        <v>3000</v>
      </c>
      <c r="G5">
        <v>150</v>
      </c>
      <c r="H5">
        <v>18000</v>
      </c>
      <c r="I5" t="s">
        <v>12</v>
      </c>
      <c r="J5">
        <f t="shared" si="0"/>
        <v>3000</v>
      </c>
      <c r="K5" s="3">
        <f t="shared" si="1"/>
        <v>20</v>
      </c>
      <c r="L5" s="3">
        <f t="shared" si="2"/>
        <v>5</v>
      </c>
      <c r="M5">
        <f t="shared" si="3"/>
        <v>100</v>
      </c>
    </row>
    <row r="6" spans="1:13">
      <c r="A6" t="s">
        <v>22</v>
      </c>
      <c r="B6" t="s">
        <v>23</v>
      </c>
      <c r="C6" t="s">
        <v>11</v>
      </c>
      <c r="D6">
        <v>12000</v>
      </c>
      <c r="E6">
        <v>60000</v>
      </c>
      <c r="F6">
        <v>6000</v>
      </c>
      <c r="G6">
        <v>540</v>
      </c>
      <c r="H6">
        <v>24000</v>
      </c>
      <c r="I6" t="s">
        <v>12</v>
      </c>
      <c r="J6">
        <f t="shared" si="0"/>
        <v>12000</v>
      </c>
      <c r="K6" s="3">
        <f t="shared" si="1"/>
        <v>100</v>
      </c>
      <c r="L6" s="3">
        <f t="shared" si="2"/>
        <v>9</v>
      </c>
      <c r="M6">
        <f t="shared" si="3"/>
        <v>22.222222222222221</v>
      </c>
    </row>
    <row r="7" spans="1:13">
      <c r="A7" t="s">
        <v>24</v>
      </c>
      <c r="B7" t="s">
        <v>25</v>
      </c>
      <c r="C7" t="s">
        <v>15</v>
      </c>
      <c r="D7">
        <v>18000</v>
      </c>
      <c r="E7">
        <v>90000</v>
      </c>
      <c r="F7">
        <v>7200</v>
      </c>
      <c r="G7">
        <v>360</v>
      </c>
      <c r="H7">
        <v>27000</v>
      </c>
      <c r="I7" t="s">
        <v>12</v>
      </c>
      <c r="J7">
        <f t="shared" si="0"/>
        <v>9000</v>
      </c>
      <c r="K7" s="3">
        <f t="shared" si="1"/>
        <v>50</v>
      </c>
      <c r="L7" s="3">
        <f t="shared" si="2"/>
        <v>5</v>
      </c>
      <c r="M7">
        <f t="shared" si="3"/>
        <v>50</v>
      </c>
    </row>
    <row r="8" spans="1:13">
      <c r="A8" t="s">
        <v>26</v>
      </c>
      <c r="B8" t="s">
        <v>27</v>
      </c>
      <c r="C8" t="s">
        <v>18</v>
      </c>
      <c r="D8">
        <v>30000</v>
      </c>
      <c r="E8">
        <v>90000</v>
      </c>
      <c r="F8">
        <v>9000</v>
      </c>
      <c r="G8">
        <v>900</v>
      </c>
      <c r="H8">
        <v>54000</v>
      </c>
      <c r="I8" t="s">
        <v>12</v>
      </c>
      <c r="J8">
        <f t="shared" si="0"/>
        <v>24000</v>
      </c>
      <c r="K8" s="3">
        <f t="shared" si="1"/>
        <v>80</v>
      </c>
      <c r="L8" s="3">
        <f t="shared" si="2"/>
        <v>10</v>
      </c>
      <c r="M8">
        <f t="shared" si="3"/>
        <v>33.333333333333336</v>
      </c>
    </row>
    <row r="9" spans="1:13">
      <c r="A9" t="s">
        <v>28</v>
      </c>
      <c r="B9" t="s">
        <v>29</v>
      </c>
      <c r="C9" t="s">
        <v>21</v>
      </c>
      <c r="D9">
        <v>10000</v>
      </c>
      <c r="E9">
        <v>80000</v>
      </c>
      <c r="F9">
        <v>2400</v>
      </c>
      <c r="G9">
        <v>120</v>
      </c>
      <c r="H9">
        <v>14000</v>
      </c>
      <c r="I9" t="s">
        <v>12</v>
      </c>
      <c r="J9">
        <f t="shared" si="0"/>
        <v>4000</v>
      </c>
      <c r="K9" s="3">
        <f t="shared" si="1"/>
        <v>40</v>
      </c>
      <c r="L9" s="3">
        <f t="shared" si="2"/>
        <v>5</v>
      </c>
      <c r="M9">
        <f t="shared" si="3"/>
        <v>83.333333333333329</v>
      </c>
    </row>
    <row r="10" spans="1:13">
      <c r="A10" t="s">
        <v>30</v>
      </c>
      <c r="B10" t="s">
        <v>31</v>
      </c>
      <c r="C10" t="s">
        <v>11</v>
      </c>
      <c r="D10">
        <v>8000</v>
      </c>
      <c r="E10">
        <v>40000</v>
      </c>
      <c r="F10">
        <v>4000</v>
      </c>
      <c r="G10">
        <v>440</v>
      </c>
      <c r="H10">
        <v>20000</v>
      </c>
      <c r="I10" t="s">
        <v>12</v>
      </c>
      <c r="J10">
        <f t="shared" si="0"/>
        <v>12000</v>
      </c>
      <c r="K10" s="3">
        <f t="shared" si="1"/>
        <v>150</v>
      </c>
      <c r="L10" s="3">
        <f t="shared" si="2"/>
        <v>11</v>
      </c>
      <c r="M10">
        <f t="shared" si="3"/>
        <v>18.181818181818183</v>
      </c>
    </row>
    <row r="11" spans="1:13">
      <c r="A11" t="s">
        <v>32</v>
      </c>
      <c r="B11" t="s">
        <v>33</v>
      </c>
      <c r="C11" t="s">
        <v>15</v>
      </c>
      <c r="D11">
        <v>22000</v>
      </c>
      <c r="E11">
        <v>110000</v>
      </c>
      <c r="F11">
        <v>6600</v>
      </c>
      <c r="G11">
        <v>330</v>
      </c>
      <c r="H11">
        <v>35000</v>
      </c>
      <c r="I11" t="s">
        <v>12</v>
      </c>
      <c r="J11">
        <f t="shared" si="0"/>
        <v>13000</v>
      </c>
      <c r="K11" s="3">
        <f t="shared" si="1"/>
        <v>59.090909090909093</v>
      </c>
      <c r="L11" s="3">
        <f t="shared" si="2"/>
        <v>5</v>
      </c>
      <c r="M11">
        <f t="shared" si="3"/>
        <v>66.666666666666671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7F5A9F-6D61-4FF5-88C6-9E37B09EE827}">
  <dimension ref="A1:D5"/>
  <sheetViews>
    <sheetView workbookViewId="0">
      <selection activeCell="L23" sqref="L23"/>
    </sheetView>
  </sheetViews>
  <sheetFormatPr defaultRowHeight="14.4"/>
  <cols>
    <col min="1" max="1" width="11.33203125" bestFit="1" customWidth="1"/>
    <col min="2" max="2" width="15.21875" bestFit="1" customWidth="1"/>
    <col min="3" max="3" width="17.44140625" bestFit="1" customWidth="1"/>
    <col min="4" max="4" width="18.21875" bestFit="1" customWidth="1"/>
  </cols>
  <sheetData>
    <row r="1" spans="1:4">
      <c r="A1" s="1" t="s">
        <v>2</v>
      </c>
      <c r="B1" s="1" t="s">
        <v>38</v>
      </c>
      <c r="C1" s="1" t="s">
        <v>39</v>
      </c>
      <c r="D1" s="1" t="s">
        <v>40</v>
      </c>
    </row>
    <row r="2" spans="1:4">
      <c r="A2" t="s">
        <v>11</v>
      </c>
      <c r="B2">
        <f>SUMIF(campaign_data!C:C,A2,campaign_data!D:D)</f>
        <v>30000</v>
      </c>
      <c r="C2">
        <f>SUMIF(campaign_data!C:C,A2,campaign_data!H:H)</f>
        <v>74000</v>
      </c>
      <c r="D2" s="3">
        <f>IFERROR((C2-B2)/B2*100,0)</f>
        <v>146.66666666666666</v>
      </c>
    </row>
    <row r="3" spans="1:4">
      <c r="A3" t="s">
        <v>15</v>
      </c>
      <c r="B3">
        <f>SUMIF(campaign_data!C:C,A3,campaign_data!D:D)</f>
        <v>60000</v>
      </c>
      <c r="C3">
        <f>SUMIF(campaign_data!C:C,A3,campaign_data!H:H)</f>
        <v>94000</v>
      </c>
      <c r="D3" s="3">
        <f t="shared" ref="D3:D5" si="0">IFERROR((C3-B3)/B3*100,0)</f>
        <v>56.666666666666664</v>
      </c>
    </row>
    <row r="4" spans="1:4">
      <c r="A4" t="s">
        <v>18</v>
      </c>
      <c r="B4">
        <f>SUMIF(campaign_data!C:C,A4,campaign_data!D:D)</f>
        <v>55000</v>
      </c>
      <c r="C4">
        <f>SUMIF(campaign_data!C:C,A4,campaign_data!H:H)</f>
        <v>99000</v>
      </c>
      <c r="D4" s="3">
        <f t="shared" si="0"/>
        <v>80</v>
      </c>
    </row>
    <row r="5" spans="1:4">
      <c r="A5" t="s">
        <v>21</v>
      </c>
      <c r="B5">
        <f>SUMIF(campaign_data!C:C,A5,campaign_data!D:D)</f>
        <v>25000</v>
      </c>
      <c r="C5">
        <f>SUMIF(campaign_data!C:C,A5,campaign_data!H:H)</f>
        <v>32000</v>
      </c>
      <c r="D5" s="3">
        <f t="shared" si="0"/>
        <v>28.000000000000004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campaign_data</vt:lpstr>
      <vt:lpstr>Channel_Summary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Shakir MS</dc:creator>
  <cp:lastModifiedBy>Shakir MS</cp:lastModifiedBy>
  <dcterms:created xsi:type="dcterms:W3CDTF">2026-10-22T05:44:26Z</dcterms:created>
  <dcterms:modified xsi:type="dcterms:W3CDTF">2026-10-22T09:58:10Z</dcterms:modified>
</cp:coreProperties>
</file>